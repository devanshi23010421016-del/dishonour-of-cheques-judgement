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285DFC3-A0AB-4998-A080-61472FE8E54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ead Me" sheetId="1" r:id="rId1"/>
    <sheet name="Team" sheetId="2" r:id="rId2"/>
    <sheet name="Data" sheetId="3" r:id="rId3"/>
    <sheet name="Chart counts" sheetId="4" r:id="rId4"/>
    <sheet name="Vocabulari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4" l="1"/>
  <c r="B36" i="4"/>
  <c r="B35" i="4"/>
  <c r="B34" i="4"/>
  <c r="B33" i="4"/>
  <c r="B30" i="4"/>
  <c r="B29" i="4"/>
  <c r="B28" i="4"/>
  <c r="B27" i="4"/>
  <c r="B26" i="4"/>
  <c r="B23" i="4"/>
  <c r="B22" i="4"/>
  <c r="B21" i="4"/>
  <c r="B20" i="4"/>
  <c r="B19" i="4"/>
  <c r="B16" i="4"/>
  <c r="B15" i="4"/>
  <c r="B14" i="4"/>
  <c r="B13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<sst xmlns="http://schemas.openxmlformats.org/spreadsheetml/2006/main" count="235" uniqueCount="145">
  <si>
    <t>Judgment Content Analysis · Dataset template</t>
  </si>
  <si>
    <t>How to use this file</t>
  </si>
  <si>
    <t>1. Fill the Team sheet.</t>
  </si>
  <si>
    <t>3. Pale yellow cells are yours to fill. Dropdown columns accept only the listed values (see the Vocabularies sheet). Do not add, delete or reorder columns.</t>
  </si>
  <si>
    <t>5. Read the Option 2 Guide for the column meanings, the charts, GitHub steps and the README.</t>
  </si>
  <si>
    <t>Team information</t>
  </si>
  <si>
    <t>Topic</t>
  </si>
  <si>
    <t>Court</t>
  </si>
  <si>
    <t>Team name</t>
  </si>
  <si>
    <t>GitHub repository link</t>
  </si>
  <si>
    <t>Member 1 · name and section</t>
  </si>
  <si>
    <t>Member 2 · name and section</t>
  </si>
  <si>
    <t>Member 3 · name and section (if any)</t>
  </si>
  <si>
    <t>Date completed (DD-MM-YYYY)</t>
  </si>
  <si>
    <t>Data · one row per judgment</t>
  </si>
  <si>
    <t>Row 5 is a made-up example. Your judgments start at row 6. Enter 10 to 20 judgments decided between 01-09-2021 and 31-08-2026. See the Option 2 Guide, section 4.</t>
  </si>
  <si>
    <t>#</t>
  </si>
  <si>
    <t>Case name</t>
  </si>
  <si>
    <t>Citation or case number</t>
  </si>
  <si>
    <t>Date of decision (DD-MM-YYYY)</t>
  </si>
  <si>
    <t>Year</t>
  </si>
  <si>
    <t>Bench strength</t>
  </si>
  <si>
    <t>Type of case</t>
  </si>
  <si>
    <t>Who brought the case</t>
  </si>
  <si>
    <t>Outcome</t>
  </si>
  <si>
    <t>Who won</t>
  </si>
  <si>
    <t>Main provision</t>
  </si>
  <si>
    <t>Issue in one line</t>
  </si>
  <si>
    <t>Holding in one line</t>
  </si>
  <si>
    <t>Precedent chiefly relied on</t>
  </si>
  <si>
    <t>Source link (official copy)</t>
  </si>
  <si>
    <t>Coded by</t>
  </si>
  <si>
    <t>EX</t>
  </si>
  <si>
    <t>Example Petitioner v. State of Maharashtra (made-up)</t>
  </si>
  <si>
    <t>2024 INSC 000 (made-up)</t>
  </si>
  <si>
    <t>15-03-2024</t>
  </si>
  <si>
    <t>Criminal appeal</t>
  </si>
  <si>
    <t>Individual</t>
  </si>
  <si>
    <t>Allowed</t>
  </si>
  <si>
    <t>s 438 CrPC</t>
  </si>
  <si>
    <t>Whether anticipatory bail can be limited to a fixed period.</t>
  </si>
  <si>
    <t>Bail granted; protection ordinarily lasts till the end of trial.</t>
  </si>
  <si>
    <t>Sushila Aggarwal v. State (NCT of Delhi)</t>
  </si>
  <si>
    <t>https://www.sci.gov.in/judgements/ (made-up)</t>
  </si>
  <si>
    <t>A. Deshmukh</t>
  </si>
  <si>
    <t>Counts for your charts (these update automatically from the Data sheet)</t>
  </si>
  <si>
    <t>Select a table below, then Insert &gt; Chart in Excel or Google Sheets. Save each chart as PNG.</t>
  </si>
  <si>
    <t>Judgments</t>
  </si>
  <si>
    <t>Dismissed</t>
  </si>
  <si>
    <t>Partly allowed</t>
  </si>
  <si>
    <t>Other</t>
  </si>
  <si>
    <t>Company</t>
  </si>
  <si>
    <t>State or public body</t>
  </si>
  <si>
    <t>Association or NGO</t>
  </si>
  <si>
    <t>Mixed or unclear</t>
  </si>
  <si>
    <t>Writ petition</t>
  </si>
  <si>
    <t>Civil appeal</t>
  </si>
  <si>
    <t>SLP</t>
  </si>
  <si>
    <t>Lists used by the dropdowns (do not edit)</t>
  </si>
  <si>
    <t>2. In the Data sheet, enter one row per judgment starting at row 6. Row 5 is a made-up example showing the format; leave it as it is.</t>
  </si>
  <si>
    <t>4. When done, rename this file data.xlsx. Also save the Data sheet as data.csv (File &gt; Save As &gt; CSV). Upload both to your GitHub repository.</t>
  </si>
  <si>
    <t>Cheque dishonour, Bombay High Court</t>
  </si>
  <si>
    <t>Bombay High Court</t>
  </si>
  <si>
    <t>Division A team</t>
  </si>
  <si>
    <t xml:space="preserve">Khushi </t>
  </si>
  <si>
    <r>
      <t>Member 5 · name and section (if any)</t>
    </r>
    <r>
      <rPr>
        <sz val="10"/>
        <rFont val="Arial"/>
        <family val="2"/>
      </rPr>
      <t xml:space="preserve">tanishka </t>
    </r>
  </si>
  <si>
    <t>Member 4 - name and section</t>
  </si>
  <si>
    <t>Aryan Khatkar  A</t>
  </si>
  <si>
    <t>Devanshi Dibya A</t>
  </si>
  <si>
    <t>Khushi A</t>
  </si>
  <si>
    <t>Navya Sharma A</t>
  </si>
  <si>
    <t>Tanishka A</t>
  </si>
  <si>
    <t>Ashwin Ashokrao Karokar v. Laxmikant Govind Joshi</t>
  </si>
  <si>
    <t>Cr. WP 48/2022 with 71/2022 (Nagpur bench); also reported 2022 LiveLaw (Bom) 277</t>
  </si>
  <si>
    <t>s 143A NI Act (interim compensation)</t>
  </si>
  <si>
    <t>Whether the power to order interim compensation under s 143A is mandatory or directory</t>
  </si>
  <si>
    <t>Directory (a power, not a duty); court may order up to 20% but must give reasons for the amount</t>
  </si>
  <si>
    <t>Ajay Vinodchandra Shah v. State of Maharashtra (Bombay HC) was cited in the judgmen</t>
  </si>
  <si>
    <t>https://www.livelaw.in/pdf_upload/bombay-hc-ni-act-1-428751.pdf (LiveLaw copy</t>
  </si>
  <si>
    <t xml:space="preserve">Navya </t>
  </si>
  <si>
    <t>Lyka Labs Ltd. &amp; Anr. v. State of Maharashtra &amp; Anr.</t>
  </si>
  <si>
    <t>Cr. Appl. 886/2022 and connected matters; 2023 SCC OnLine Bom 560; 2023 LiveLaw (Bom) 134</t>
  </si>
  <si>
    <t>1 (Amit Borkar J.)</t>
  </si>
  <si>
    <t>s 143A (also s 148) NI Act</t>
  </si>
  <si>
    <t>Whether a person who only signs a company's cheque is the 'drawer' who can be ordered to pay interim compensation under s 143A</t>
  </si>
  <si>
    <t>No. An authorised signatory is not the drawer; a 20% deposit under s 148 is also not compulsory in his appeal.</t>
  </si>
  <si>
    <t>N. Harihara Krishnan v. J. Thomas (Supreme Court) on who the 'drawer' is.</t>
  </si>
  <si>
    <t>https://www.verdictum.in/pdf_upload/23080006874202216-462618watermark-1477996.pdf</t>
  </si>
  <si>
    <t xml:space="preserve">Devanshi </t>
  </si>
  <si>
    <t xml:space="preserve">Aryan </t>
  </si>
  <si>
    <t xml:space="preserve">Tanishka </t>
  </si>
  <si>
    <t xml:space="preserve">Devasnhi </t>
  </si>
  <si>
    <t>Prashant Chhaganrao Gadekar v. State of Maharashtra &amp; Anr. (with Bhausaheb Dhavale)</t>
  </si>
  <si>
    <t>Cr. Rev. Appl. 179/2022 and 247/2022 (Aurangabad bench)</t>
  </si>
  <si>
    <t xml:space="preserve">s 138 with s 139 NI Act </t>
  </si>
  <si>
    <t>Whether the accused rebutted the s 139 presumption of a legally enforceable debt, and whether sentence and compensation were right</t>
  </si>
  <si>
    <t>Conviction stood; jail term cut to time already served; compensation raised from Rs 7 lakh to Rs 10 lakh.</t>
  </si>
  <si>
    <t>Not confirmed f</t>
  </si>
  <si>
    <t>https://lawtext.in/judgement.php?bid=47132</t>
  </si>
  <si>
    <t>Guljama Shah Jahir Shah v. Shri Sadguru Kaka Stone Crusher</t>
  </si>
  <si>
    <t>Cr. WP 83/2023 (Nagpur bench)</t>
  </si>
  <si>
    <t>s 143A NI Act</t>
  </si>
  <si>
    <t>Whether a 20% interim compensation order made without reasons is valid.</t>
  </si>
  <si>
    <t>No. An order without reasons cannot stand; sent back for fresh reconsideration.</t>
  </si>
  <si>
    <t>Likely Karokar</t>
  </si>
  <si>
    <t>https://supremetoday.ai/doc/order/00400072768</t>
  </si>
  <si>
    <t>Ranjana Sharma v. State of Maharashtra &amp; Anr.</t>
  </si>
  <si>
    <t>Cr. WP 275/2022</t>
  </si>
  <si>
    <t>s 141 r/w s 138 NI Act (liability of directors)</t>
  </si>
  <si>
    <t>Whether process against a company director can continue when the complaint does not state her specific role</t>
  </si>
  <si>
    <t>No. Process quashed for want of specific averments on her role (later set aside by the Supreme Court)</t>
  </si>
  <si>
    <t>Not confirmed.</t>
  </si>
  <si>
    <t>https://www.caseon.in/case/hdfc-bank-limited-vs-state-of-maharashtra-and-anr</t>
  </si>
  <si>
    <t>Monica w/o Nirav Shah v. Dharampeth Mahila Multi State Co-op. Society Ltd.</t>
  </si>
  <si>
    <t>Cr. WP 186/2024; 2024:BHC-NAG:5504 (Nagpur bench)</t>
  </si>
  <si>
    <t>s 138 NI Act (who is the 'drawer')</t>
  </si>
  <si>
    <t>Whether a joint account holder who did not sign the cheque can be prosecuted.</t>
  </si>
  <si>
    <t>No. A non-signing joint account holder is not the drawer and cannot be prosecuted under s 138.</t>
  </si>
  <si>
    <t>Aparna A. Shah v. Sheth Developers Pvt. Ltd., (2013) 8 SCC 71</t>
  </si>
  <si>
    <t>M/s Bajaj Constructions v. State of Maharashtra &amp; Ors</t>
  </si>
  <si>
    <t>WP (St) 22150/2023; [2024] 163 taxmann.com 675 (HC Bombay)</t>
  </si>
  <si>
    <t>Whether interim compensation can be ordered when the accused shows part payment.</t>
  </si>
  <si>
    <t>No. With a believable defence backed by vouchers and bank extracts, compensation can be refused; 20% is a ceiling</t>
  </si>
  <si>
    <t>https://theindianlawyer.in/bombay-high-court-refuses-grant-of-interim-compensation-in-cheque-bouncing-case-as-accused-had-establihsed-bona-fide
s-through-part-payments/</t>
  </si>
  <si>
    <t>Manoj Abhimanyu Patil v. M/s Mansi Labour Suppliers</t>
  </si>
  <si>
    <t>Cr. WP 1068/2024 (Aurangabad bench)</t>
  </si>
  <si>
    <t>When interim compensation can be ordered and whether non-payment has consequences.</t>
  </si>
  <si>
    <t>Section 143A is directory; compensation can be ordered only after the accused pleads not guilty.</t>
  </si>
  <si>
    <t>Possibly Rakesh Ranjan Shrivastava v. State of Jharkhand (</t>
  </si>
  <si>
    <t>https://supremetoday.ai/doc/judgement/00400074458</t>
  </si>
  <si>
    <t>s 141 r/w s 138 NI Act (liability of company directors)</t>
  </si>
  <si>
    <t>Whether directors, including ones who resigned and an independent non-executive director, can be prosecuted for a company's dishonoured cheques.</t>
  </si>
  <si>
    <t>Complaint averments were enough and resignation after the cheques were drawn was no escape, but process against the independent non-executive director was quashed.</t>
  </si>
  <si>
    <t xml:space="preserve">S.P. Mani and Mohan Dairy v. Dr. Snehalata Elangovan </t>
  </si>
  <si>
    <t>s 138 r/w s 141 NI Act, with s 313 CrPC</t>
  </si>
  <si>
    <t>Yes, where the absence is unjustified: s 138 is quasi-criminal, so conviction stood and the Rs 1.2 crore deposit goes to the complainant.</t>
  </si>
  <si>
    <t xml:space="preserve">Indermal Pannalal Jain &amp; Ors. v. State of Maharashtra &amp; Anr. </t>
  </si>
  <si>
    <t>Writ Petition No. 2018 of 2017 (Bombay HC, Criminal Appellate Jurisdiction)</t>
  </si>
  <si>
    <t>https://future.indiankanoon.org/doc/19973689/ (Indian Kanoon copy of the judgment)</t>
  </si>
  <si>
    <t xml:space="preserve">Navneet Singh Gogia &amp; Anr. v. State of Maharashtra &amp; Anr. </t>
  </si>
  <si>
    <t>Cr. Rev. Appl. 70/2023 and 71/2023 (Bombay HC, Criminal Appellate Jurisdiction)</t>
  </si>
  <si>
    <t>Whether a Magistrate can convict in a s 138 trial without recording the accused's s 313 statement when the accused and their advocate stay absent during evidence.</t>
  </si>
  <si>
    <t>Indian Bank Association v. Union of India (2014) 5 SCC 590 and P. Mohanraj v. Shah Brothers Ispat Pvt. Ltd. (2021) 6 SCC 258</t>
  </si>
  <si>
    <t>https://rawlaw.in/wp-content/uploads/2025/01/BHC5-2.pdf</t>
  </si>
  <si>
    <t>https://ap.wps.com/cms/docs/d/cbCaesXsP1n42uB6?lg=en-US&amp;sa=601.1074&amp;ps=1&amp;fn=Option%202%20Guide.docx&amp;refer=whatsapp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</si>
</sst>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B2431"/>
      <name val="Arial"/>
      <family val="2"/>
    </font>
    <font>
      <sz val="9"/>
      <name val="Arial"/>
      <family val="2"/>
    </font>
    <font>
      <b/>
      <sz val="12"/>
      <color rgb="FF1B2431"/>
      <name val="Arial"/>
      <family val="2"/>
    </font>
    <font>
      <sz val="10"/>
      <name val="Arial"/>
      <family val="2"/>
    </font>
    <font>
      <b/>
      <sz val="14"/>
      <color rgb="FF1B2431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color rgb="FF5A6472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B2431"/>
      </patternFill>
    </fill>
    <fill>
      <patternFill patternType="solid">
        <fgColor rgb="FFF2F2F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2" borderId="1" xfId="0" applyFont="1" applyFill="1" applyBorder="1"/>
    <xf numFmtId="0" fontId="8" fillId="0" borderId="0" xfId="0" applyFont="1"/>
    <xf numFmtId="0" fontId="7" fillId="3" borderId="0" xfId="0" applyFont="1" applyFill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7" fillId="3" borderId="0" xfId="0" applyFont="1" applyFill="1"/>
    <xf numFmtId="0" fontId="9" fillId="0" borderId="0" xfId="0" applyFont="1" applyAlignment="1">
      <alignment vertical="top" wrapText="1"/>
    </xf>
    <xf numFmtId="14" fontId="0" fillId="0" borderId="0" xfId="0" applyNumberFormat="1"/>
    <xf numFmtId="14" fontId="2" fillId="2" borderId="1" xfId="0" applyNumberFormat="1" applyFont="1" applyFill="1" applyBorder="1" applyAlignment="1">
      <alignment vertical="top" wrapText="1"/>
    </xf>
    <xf numFmtId="0" fontId="10" fillId="2" borderId="1" xfId="1" applyFill="1" applyBorder="1" applyAlignment="1">
      <alignment vertical="top" wrapText="1"/>
    </xf>
    <xf numFmtId="0" fontId="10" fillId="2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.wps.com/cms/docs/d/cbCaesXsP1n42uB6?lg=en-US&amp;sa=601.1074&amp;ps=1&amp;fn=Option%202%20Guide.docx&amp;refer=whatsap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uture.indiankanoon.org/doc/19973689/%20(Indian%20Kanoon%20copy%20of%20the%20judgment)" TargetMode="External"/><Relationship Id="rId3" Type="http://schemas.openxmlformats.org/officeDocument/2006/relationships/hyperlink" Target="https://lawtext.in/judgement.php?bid=47132" TargetMode="External"/><Relationship Id="rId7" Type="http://schemas.openxmlformats.org/officeDocument/2006/relationships/hyperlink" Target="https://supremetoday.ai/doc/judgement/00400074458" TargetMode="External"/><Relationship Id="rId2" Type="http://schemas.openxmlformats.org/officeDocument/2006/relationships/hyperlink" Target="https://www.verdictum.in/pdf_upload/23080006874202216-462618watermark-1477996.pdf" TargetMode="External"/><Relationship Id="rId1" Type="http://schemas.openxmlformats.org/officeDocument/2006/relationships/hyperlink" Target="https://www.livelaw.in/pdf_upload/bombay-hc-ni-act-1-428751.pdf%20(LiveLaw%20copy" TargetMode="External"/><Relationship Id="rId6" Type="http://schemas.openxmlformats.org/officeDocument/2006/relationships/hyperlink" Target="https://theindianlawyer.in/bombay-high-court-refuses-grant-of-interim-compensation-in-cheque-bouncing-case-as-accused-had-establihsed-bona-fides-through-part-payments/" TargetMode="External"/><Relationship Id="rId5" Type="http://schemas.openxmlformats.org/officeDocument/2006/relationships/hyperlink" Target="https://www.caseon.in/case/hdfc-bank-limited-vs-state-of-maharashtra-and-anr" TargetMode="External"/><Relationship Id="rId4" Type="http://schemas.openxmlformats.org/officeDocument/2006/relationships/hyperlink" Target="https://supremetoday.ai/doc/order/00400072768" TargetMode="External"/><Relationship Id="rId9" Type="http://schemas.openxmlformats.org/officeDocument/2006/relationships/hyperlink" Target="https://rawlaw.in/wp-content/uploads/2025/01/BHC5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tabSelected="1" workbookViewId="0">
      <selection activeCell="B8" sqref="B8"/>
    </sheetView>
  </sheetViews>
  <sheetFormatPr defaultColWidth="8.77734375" defaultRowHeight="14.4" x14ac:dyDescent="0.3"/>
  <cols>
    <col min="1" max="1" width="3" customWidth="1"/>
    <col min="2" max="2" width="105" customWidth="1"/>
  </cols>
  <sheetData>
    <row r="2" spans="2:2" ht="36" customHeight="1" x14ac:dyDescent="0.3">
      <c r="B2" s="1" t="s">
        <v>0</v>
      </c>
    </row>
    <row r="3" spans="2:2" ht="16.05" customHeight="1" x14ac:dyDescent="0.3">
      <c r="B3" s="2"/>
    </row>
    <row r="4" spans="2:2" ht="18" customHeight="1" x14ac:dyDescent="0.3">
      <c r="B4" s="3" t="s">
        <v>1</v>
      </c>
    </row>
    <row r="5" spans="2:2" ht="16.05" customHeight="1" x14ac:dyDescent="0.3">
      <c r="B5" s="4" t="s">
        <v>2</v>
      </c>
    </row>
    <row r="6" spans="2:2" ht="30" customHeight="1" x14ac:dyDescent="0.3">
      <c r="B6" s="15" t="s">
        <v>59</v>
      </c>
    </row>
    <row r="7" spans="2:2" ht="30" customHeight="1" x14ac:dyDescent="0.3">
      <c r="B7" s="4" t="s">
        <v>3</v>
      </c>
    </row>
    <row r="8" spans="2:2" ht="30" customHeight="1" x14ac:dyDescent="0.3">
      <c r="B8" s="15" t="s">
        <v>60</v>
      </c>
    </row>
    <row r="9" spans="2:2" ht="16.05" customHeight="1" x14ac:dyDescent="0.3">
      <c r="B9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workbookViewId="0">
      <selection activeCell="C14" sqref="C14"/>
    </sheetView>
  </sheetViews>
  <sheetFormatPr defaultColWidth="8.77734375" defaultRowHeight="14.4" x14ac:dyDescent="0.3"/>
  <cols>
    <col min="1" max="1" width="3" customWidth="1"/>
    <col min="2" max="2" width="32" customWidth="1"/>
    <col min="3" max="3" width="50" customWidth="1"/>
  </cols>
  <sheetData>
    <row r="2" spans="2:3" ht="17.399999999999999" x14ac:dyDescent="0.3">
      <c r="B2" s="5" t="s">
        <v>5</v>
      </c>
    </row>
    <row r="4" spans="2:3" x14ac:dyDescent="0.3">
      <c r="B4" s="6" t="s">
        <v>6</v>
      </c>
      <c r="C4" s="7" t="s">
        <v>61</v>
      </c>
    </row>
    <row r="5" spans="2:3" x14ac:dyDescent="0.3">
      <c r="B5" s="6" t="s">
        <v>7</v>
      </c>
      <c r="C5" s="7" t="s">
        <v>62</v>
      </c>
    </row>
    <row r="6" spans="2:3" x14ac:dyDescent="0.3">
      <c r="B6" s="6" t="s">
        <v>8</v>
      </c>
      <c r="C6" s="7" t="s">
        <v>63</v>
      </c>
    </row>
    <row r="7" spans="2:3" x14ac:dyDescent="0.3">
      <c r="B7" s="6" t="s">
        <v>9</v>
      </c>
      <c r="C7" s="19" t="s">
        <v>144</v>
      </c>
    </row>
    <row r="8" spans="2:3" x14ac:dyDescent="0.3">
      <c r="B8" s="6" t="s">
        <v>10</v>
      </c>
      <c r="C8" s="7" t="s">
        <v>67</v>
      </c>
    </row>
    <row r="9" spans="2:3" x14ac:dyDescent="0.3">
      <c r="B9" s="6" t="s">
        <v>11</v>
      </c>
      <c r="C9" s="7" t="s">
        <v>68</v>
      </c>
    </row>
    <row r="10" spans="2:3" x14ac:dyDescent="0.3">
      <c r="B10" s="6" t="s">
        <v>12</v>
      </c>
      <c r="C10" s="7" t="s">
        <v>69</v>
      </c>
    </row>
    <row r="11" spans="2:3" x14ac:dyDescent="0.3">
      <c r="B11" s="6" t="s">
        <v>66</v>
      </c>
      <c r="C11" s="7" t="s">
        <v>70</v>
      </c>
    </row>
    <row r="12" spans="2:3" x14ac:dyDescent="0.3">
      <c r="B12" s="6" t="s">
        <v>65</v>
      </c>
      <c r="C12" s="7" t="s">
        <v>71</v>
      </c>
    </row>
    <row r="13" spans="2:3" x14ac:dyDescent="0.3">
      <c r="B13" s="6" t="s">
        <v>13</v>
      </c>
      <c r="C13" s="16">
        <v>46325</v>
      </c>
    </row>
  </sheetData>
  <hyperlinks>
    <hyperlink ref="C7" r:id="rId1" xr:uid="{ADF8BB76-2D7A-448D-9696-AB6D2855CC6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zoomScale="66" workbookViewId="0">
      <pane xSplit="2" ySplit="4" topLeftCell="M6" activePane="bottomRight" state="frozen"/>
      <selection pane="topRight"/>
      <selection pane="bottomLeft"/>
      <selection pane="bottomRight" activeCell="O16" sqref="O16"/>
    </sheetView>
  </sheetViews>
  <sheetFormatPr defaultColWidth="8.77734375" defaultRowHeight="14.4" x14ac:dyDescent="0.3"/>
  <cols>
    <col min="1" max="1" width="4" customWidth="1"/>
    <col min="2" max="2" width="32" customWidth="1"/>
    <col min="3" max="3" width="22" customWidth="1"/>
    <col min="4" max="4" width="14" customWidth="1"/>
    <col min="5" max="5" width="7" customWidth="1"/>
    <col min="6" max="6" width="8" customWidth="1"/>
    <col min="7" max="7" width="16" customWidth="1"/>
    <col min="8" max="8" width="20" customWidth="1"/>
    <col min="9" max="9" width="14" customWidth="1"/>
    <col min="10" max="10" width="20" customWidth="1"/>
    <col min="11" max="11" width="18" customWidth="1"/>
    <col min="12" max="13" width="40" customWidth="1"/>
    <col min="14" max="14" width="28" customWidth="1"/>
    <col min="15" max="15" width="30" customWidth="1"/>
    <col min="16" max="16" width="16" customWidth="1"/>
  </cols>
  <sheetData>
    <row r="1" spans="1:16" ht="17.399999999999999" x14ac:dyDescent="0.3">
      <c r="A1" s="5" t="s">
        <v>14</v>
      </c>
    </row>
    <row r="2" spans="1:16" x14ac:dyDescent="0.3">
      <c r="A2" s="8" t="s">
        <v>15</v>
      </c>
    </row>
    <row r="4" spans="1:16" ht="36" customHeight="1" x14ac:dyDescent="0.3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</row>
    <row r="5" spans="1:16" ht="45" customHeight="1" x14ac:dyDescent="0.3">
      <c r="A5" s="10" t="s">
        <v>32</v>
      </c>
      <c r="B5" s="10" t="s">
        <v>33</v>
      </c>
      <c r="C5" s="10" t="s">
        <v>34</v>
      </c>
      <c r="D5" s="10" t="s">
        <v>35</v>
      </c>
      <c r="E5" s="10">
        <v>2024</v>
      </c>
      <c r="F5" s="10">
        <v>2</v>
      </c>
      <c r="G5" s="10" t="s">
        <v>36</v>
      </c>
      <c r="H5" s="10" t="s">
        <v>37</v>
      </c>
      <c r="I5" s="10" t="s">
        <v>38</v>
      </c>
      <c r="J5" s="10" t="s">
        <v>37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</row>
    <row r="6" spans="1:16" ht="40.049999999999997" customHeight="1" x14ac:dyDescent="0.3">
      <c r="A6" s="11">
        <v>1</v>
      </c>
      <c r="B6" s="12" t="s">
        <v>72</v>
      </c>
      <c r="C6" s="12" t="s">
        <v>73</v>
      </c>
      <c r="D6" s="17">
        <v>44749</v>
      </c>
      <c r="E6" s="12">
        <v>2022</v>
      </c>
      <c r="F6" s="12">
        <v>1</v>
      </c>
      <c r="G6" s="12" t="s">
        <v>55</v>
      </c>
      <c r="H6" s="12" t="s">
        <v>37</v>
      </c>
      <c r="I6" s="12" t="s">
        <v>50</v>
      </c>
      <c r="J6" s="12" t="s">
        <v>54</v>
      </c>
      <c r="K6" s="12" t="s">
        <v>74</v>
      </c>
      <c r="L6" s="12" t="s">
        <v>75</v>
      </c>
      <c r="M6" s="12" t="s">
        <v>76</v>
      </c>
      <c r="N6" s="12" t="s">
        <v>77</v>
      </c>
      <c r="O6" s="18" t="s">
        <v>78</v>
      </c>
      <c r="P6" s="12" t="s">
        <v>79</v>
      </c>
    </row>
    <row r="7" spans="1:16" ht="40.049999999999997" customHeight="1" x14ac:dyDescent="0.3">
      <c r="A7" s="11">
        <v>2</v>
      </c>
      <c r="B7" s="12" t="s">
        <v>80</v>
      </c>
      <c r="C7" s="12" t="s">
        <v>81</v>
      </c>
      <c r="D7" s="17">
        <v>44993</v>
      </c>
      <c r="E7" s="12">
        <v>2023</v>
      </c>
      <c r="F7" s="12" t="s">
        <v>82</v>
      </c>
      <c r="G7" s="12" t="s">
        <v>50</v>
      </c>
      <c r="H7" s="12" t="s">
        <v>51</v>
      </c>
      <c r="I7" s="12" t="s">
        <v>50</v>
      </c>
      <c r="J7" s="12" t="s">
        <v>54</v>
      </c>
      <c r="K7" s="12" t="s">
        <v>83</v>
      </c>
      <c r="L7" s="12" t="s">
        <v>84</v>
      </c>
      <c r="M7" s="12" t="s">
        <v>85</v>
      </c>
      <c r="N7" s="12" t="s">
        <v>86</v>
      </c>
      <c r="O7" s="18" t="s">
        <v>87</v>
      </c>
      <c r="P7" s="12" t="s">
        <v>79</v>
      </c>
    </row>
    <row r="8" spans="1:16" ht="40.049999999999997" customHeight="1" x14ac:dyDescent="0.3">
      <c r="A8" s="11">
        <v>3</v>
      </c>
      <c r="B8" s="12" t="s">
        <v>92</v>
      </c>
      <c r="C8" s="12" t="s">
        <v>93</v>
      </c>
      <c r="D8" s="17">
        <v>45146</v>
      </c>
      <c r="E8" s="12">
        <v>2023</v>
      </c>
      <c r="F8" s="12">
        <v>1</v>
      </c>
      <c r="G8" s="12" t="s">
        <v>50</v>
      </c>
      <c r="H8" s="12" t="s">
        <v>37</v>
      </c>
      <c r="I8" s="12" t="s">
        <v>49</v>
      </c>
      <c r="J8" s="12" t="s">
        <v>37</v>
      </c>
      <c r="K8" s="12" t="s">
        <v>94</v>
      </c>
      <c r="L8" s="12" t="s">
        <v>95</v>
      </c>
      <c r="M8" s="12" t="s">
        <v>96</v>
      </c>
      <c r="N8" s="12" t="s">
        <v>97</v>
      </c>
      <c r="O8" s="18" t="s">
        <v>98</v>
      </c>
      <c r="P8" s="12" t="s">
        <v>88</v>
      </c>
    </row>
    <row r="9" spans="1:16" ht="40.049999999999997" customHeight="1" x14ac:dyDescent="0.3">
      <c r="A9" s="11">
        <v>4</v>
      </c>
      <c r="B9" s="12" t="s">
        <v>99</v>
      </c>
      <c r="C9" s="12" t="s">
        <v>100</v>
      </c>
      <c r="D9" s="17">
        <v>45190</v>
      </c>
      <c r="E9" s="12">
        <v>2023</v>
      </c>
      <c r="F9" s="12">
        <v>1</v>
      </c>
      <c r="G9" s="12" t="s">
        <v>55</v>
      </c>
      <c r="H9" s="12" t="s">
        <v>37</v>
      </c>
      <c r="I9" s="12" t="s">
        <v>38</v>
      </c>
      <c r="J9" s="12" t="s">
        <v>37</v>
      </c>
      <c r="K9" s="12" t="s">
        <v>101</v>
      </c>
      <c r="L9" s="12" t="s">
        <v>102</v>
      </c>
      <c r="M9" s="12" t="s">
        <v>103</v>
      </c>
      <c r="N9" s="12" t="s">
        <v>104</v>
      </c>
      <c r="O9" s="18" t="s">
        <v>105</v>
      </c>
      <c r="P9" s="12" t="s">
        <v>64</v>
      </c>
    </row>
    <row r="10" spans="1:16" ht="40.049999999999997" customHeight="1" x14ac:dyDescent="0.3">
      <c r="A10" s="11">
        <v>5</v>
      </c>
      <c r="B10" s="12" t="s">
        <v>106</v>
      </c>
      <c r="C10" s="12" t="s">
        <v>107</v>
      </c>
      <c r="D10" s="17">
        <v>45301</v>
      </c>
      <c r="E10" s="12">
        <v>2024</v>
      </c>
      <c r="F10" s="12">
        <v>1</v>
      </c>
      <c r="G10" s="12" t="s">
        <v>55</v>
      </c>
      <c r="H10" s="12" t="s">
        <v>37</v>
      </c>
      <c r="I10" s="12" t="s">
        <v>38</v>
      </c>
      <c r="J10" s="12" t="s">
        <v>37</v>
      </c>
      <c r="K10" s="12" t="s">
        <v>108</v>
      </c>
      <c r="L10" s="12" t="s">
        <v>109</v>
      </c>
      <c r="M10" s="12" t="s">
        <v>110</v>
      </c>
      <c r="N10" s="12" t="s">
        <v>111</v>
      </c>
      <c r="O10" s="18" t="s">
        <v>112</v>
      </c>
      <c r="P10" s="12" t="s">
        <v>89</v>
      </c>
    </row>
    <row r="11" spans="1:16" ht="40.049999999999997" customHeight="1" x14ac:dyDescent="0.3">
      <c r="A11" s="11">
        <v>6</v>
      </c>
      <c r="B11" s="12" t="s">
        <v>113</v>
      </c>
      <c r="C11" s="12" t="s">
        <v>114</v>
      </c>
      <c r="D11" s="17">
        <v>45418</v>
      </c>
      <c r="E11" s="12">
        <v>2024</v>
      </c>
      <c r="F11" s="12">
        <v>1</v>
      </c>
      <c r="G11" s="12" t="s">
        <v>55</v>
      </c>
      <c r="H11" s="12" t="s">
        <v>37</v>
      </c>
      <c r="I11" s="12" t="s">
        <v>38</v>
      </c>
      <c r="J11" s="12" t="s">
        <v>37</v>
      </c>
      <c r="K11" s="12" t="s">
        <v>115</v>
      </c>
      <c r="L11" s="12" t="s">
        <v>116</v>
      </c>
      <c r="M11" s="12" t="s">
        <v>117</v>
      </c>
      <c r="N11" s="12" t="s">
        <v>118</v>
      </c>
      <c r="O11" s="12" t="s">
        <v>119</v>
      </c>
      <c r="P11" s="12" t="s">
        <v>90</v>
      </c>
    </row>
    <row r="12" spans="1:16" ht="40.049999999999997" customHeight="1" x14ac:dyDescent="0.3">
      <c r="A12" s="11">
        <v>7</v>
      </c>
      <c r="B12" s="12" t="s">
        <v>119</v>
      </c>
      <c r="C12" s="12" t="s">
        <v>120</v>
      </c>
      <c r="D12" s="17">
        <v>45453</v>
      </c>
      <c r="E12" s="12">
        <v>2024</v>
      </c>
      <c r="F12" s="12">
        <v>1</v>
      </c>
      <c r="G12" s="12" t="s">
        <v>55</v>
      </c>
      <c r="H12" s="12" t="s">
        <v>37</v>
      </c>
      <c r="I12" s="12" t="s">
        <v>38</v>
      </c>
      <c r="J12" s="12" t="s">
        <v>37</v>
      </c>
      <c r="K12" s="12" t="s">
        <v>101</v>
      </c>
      <c r="L12" s="12" t="s">
        <v>121</v>
      </c>
      <c r="M12" s="12" t="s">
        <v>122</v>
      </c>
      <c r="N12" s="12" t="s">
        <v>97</v>
      </c>
      <c r="O12" s="18" t="s">
        <v>123</v>
      </c>
      <c r="P12" s="12" t="s">
        <v>79</v>
      </c>
    </row>
    <row r="13" spans="1:16" ht="40.049999999999997" customHeight="1" x14ac:dyDescent="0.3">
      <c r="A13" s="11">
        <v>8</v>
      </c>
      <c r="B13" s="12" t="s">
        <v>124</v>
      </c>
      <c r="C13" s="12" t="s">
        <v>125</v>
      </c>
      <c r="D13" s="17">
        <v>45693</v>
      </c>
      <c r="E13" s="12">
        <v>2025</v>
      </c>
      <c r="F13" s="12">
        <v>1</v>
      </c>
      <c r="G13" s="12" t="s">
        <v>55</v>
      </c>
      <c r="H13" s="12" t="s">
        <v>37</v>
      </c>
      <c r="I13" s="12" t="s">
        <v>50</v>
      </c>
      <c r="J13" s="12" t="s">
        <v>54</v>
      </c>
      <c r="K13" s="12" t="s">
        <v>101</v>
      </c>
      <c r="L13" s="12" t="s">
        <v>126</v>
      </c>
      <c r="M13" s="12" t="s">
        <v>127</v>
      </c>
      <c r="N13" s="12" t="s">
        <v>128</v>
      </c>
      <c r="O13" s="18" t="s">
        <v>129</v>
      </c>
      <c r="P13" s="12" t="s">
        <v>91</v>
      </c>
    </row>
    <row r="14" spans="1:16" ht="40.049999999999997" customHeight="1" x14ac:dyDescent="0.3">
      <c r="A14" s="11">
        <v>9</v>
      </c>
      <c r="B14" s="12" t="s">
        <v>136</v>
      </c>
      <c r="C14" s="12" t="s">
        <v>137</v>
      </c>
      <c r="D14" s="17">
        <v>44887</v>
      </c>
      <c r="E14" s="12">
        <v>2022</v>
      </c>
      <c r="F14" s="12">
        <v>1</v>
      </c>
      <c r="G14" s="12" t="s">
        <v>55</v>
      </c>
      <c r="H14" s="12" t="s">
        <v>37</v>
      </c>
      <c r="I14" s="12" t="s">
        <v>49</v>
      </c>
      <c r="J14" s="12" t="s">
        <v>54</v>
      </c>
      <c r="K14" s="12" t="s">
        <v>130</v>
      </c>
      <c r="L14" s="12" t="s">
        <v>131</v>
      </c>
      <c r="M14" s="12" t="s">
        <v>132</v>
      </c>
      <c r="N14" s="12" t="s">
        <v>133</v>
      </c>
      <c r="O14" s="18" t="s">
        <v>138</v>
      </c>
      <c r="P14" s="12" t="s">
        <v>64</v>
      </c>
    </row>
    <row r="15" spans="1:16" ht="40.049999999999997" customHeight="1" x14ac:dyDescent="0.3">
      <c r="A15" s="11">
        <v>10</v>
      </c>
      <c r="B15" s="12" t="s">
        <v>139</v>
      </c>
      <c r="C15" s="12" t="s">
        <v>140</v>
      </c>
      <c r="D15" s="17">
        <v>45678</v>
      </c>
      <c r="E15" s="12">
        <v>2025</v>
      </c>
      <c r="F15" s="12">
        <v>1</v>
      </c>
      <c r="G15" s="12" t="s">
        <v>50</v>
      </c>
      <c r="H15" s="12" t="s">
        <v>37</v>
      </c>
      <c r="I15" s="12" t="s">
        <v>48</v>
      </c>
      <c r="J15" s="12" t="s">
        <v>37</v>
      </c>
      <c r="K15" s="12" t="s">
        <v>134</v>
      </c>
      <c r="L15" s="12" t="s">
        <v>141</v>
      </c>
      <c r="M15" s="12" t="s">
        <v>135</v>
      </c>
      <c r="N15" s="12" t="s">
        <v>142</v>
      </c>
      <c r="O15" s="18" t="s">
        <v>143</v>
      </c>
      <c r="P15" s="12" t="s">
        <v>88</v>
      </c>
    </row>
    <row r="16" spans="1:16" ht="40.049999999999997" customHeight="1" x14ac:dyDescent="0.3">
      <c r="A16" s="11">
        <v>11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40.049999999999997" customHeight="1" x14ac:dyDescent="0.3">
      <c r="A17" s="11">
        <v>12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40.049999999999997" customHeight="1" x14ac:dyDescent="0.3">
      <c r="A18" s="11">
        <v>13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40.049999999999997" customHeight="1" x14ac:dyDescent="0.3">
      <c r="A19" s="11">
        <v>14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40.049999999999997" customHeight="1" x14ac:dyDescent="0.3">
      <c r="A20" s="11">
        <v>15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40.049999999999997" customHeight="1" x14ac:dyDescent="0.3">
      <c r="A21" s="11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40.049999999999997" customHeight="1" x14ac:dyDescent="0.3">
      <c r="A22" s="11">
        <v>17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40.049999999999997" customHeight="1" x14ac:dyDescent="0.3">
      <c r="A23" s="11">
        <v>18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40.049999999999997" customHeight="1" x14ac:dyDescent="0.3">
      <c r="A24" s="11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40.049999999999997" customHeight="1" x14ac:dyDescent="0.3">
      <c r="A25" s="11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dataValidations count="1">
    <dataValidation type="whole" showErrorMessage="1" errorTitle="Year" error="Enter a year between 2021 and 2026 as a number." sqref="E6:E25" xr:uid="{00000000-0002-0000-0200-000004000000}">
      <formula1>2021</formula1>
      <formula2>2026</formula2>
    </dataValidation>
  </dataValidations>
  <hyperlinks>
    <hyperlink ref="O6" r:id="rId1" xr:uid="{27E0DF77-205C-4C72-BD7B-388888A39224}"/>
    <hyperlink ref="O7" r:id="rId2" xr:uid="{0FE3FD08-4895-4B8D-AD7E-0A3A21D2A063}"/>
    <hyperlink ref="O8" r:id="rId3" xr:uid="{7A384D56-36DE-4159-967A-1E626D9CE5F8}"/>
    <hyperlink ref="O9" r:id="rId4" xr:uid="{D2B6C3C3-41F1-45F5-B6FF-4D28D6198104}"/>
    <hyperlink ref="O10" r:id="rId5" xr:uid="{AEDFB48F-29E7-4057-A151-18438A420871}"/>
    <hyperlink ref="O12" r:id="rId6" xr:uid="{D110E3CC-F801-425F-B2E8-06EB6DCB5401}"/>
    <hyperlink ref="O13" r:id="rId7" xr:uid="{BE7265B0-144F-453A-8DE2-1B2581C72678}"/>
    <hyperlink ref="O14" r:id="rId8" xr:uid="{34C641E0-B3E1-4B19-B1CD-20B9C9760179}"/>
    <hyperlink ref="O15" r:id="rId9" xr:uid="{D2A04AB4-D56F-40FC-9368-426C1F850DE8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Pick from the list" error="Choose one of the listed values (see Vocabularies sheet)." xr:uid="{00000000-0002-0000-0200-000000000000}">
          <x14:formula1>
            <xm:f>Vocabularies!$A$3:$A$7</xm:f>
          </x14:formula1>
          <xm:sqref>G6:G25</xm:sqref>
        </x14:dataValidation>
        <x14:dataValidation type="list" allowBlank="1" showErrorMessage="1" errorTitle="Pick from the list" error="Choose one of the listed values (see Vocabularies sheet)." xr:uid="{00000000-0002-0000-0200-000001000000}">
          <x14:formula1>
            <xm:f>Vocabularies!$B$3:$B$7</xm:f>
          </x14:formula1>
          <xm:sqref>H6:H25</xm:sqref>
        </x14:dataValidation>
        <x14:dataValidation type="list" allowBlank="1" showErrorMessage="1" errorTitle="Pick from the list" error="Choose one of the listed values (see Vocabularies sheet)." xr:uid="{00000000-0002-0000-0200-000002000000}">
          <x14:formula1>
            <xm:f>Vocabularies!$C$3:$C$6</xm:f>
          </x14:formula1>
          <xm:sqref>I6:I25</xm:sqref>
        </x14:dataValidation>
        <x14:dataValidation type="list" allowBlank="1" showErrorMessage="1" errorTitle="Pick from the list" error="Choose one of the listed values (see Vocabularies sheet)." xr:uid="{00000000-0002-0000-0200-000003000000}">
          <x14:formula1>
            <xm:f>Vocabularies!$D$3:$D$7</xm:f>
          </x14:formula1>
          <xm:sqref>J6:J25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zoomScale="71" workbookViewId="0">
      <selection activeCell="H6" sqref="H6"/>
    </sheetView>
  </sheetViews>
  <sheetFormatPr defaultColWidth="8.77734375" defaultRowHeight="14.4" x14ac:dyDescent="0.3"/>
  <cols>
    <col min="1" max="1" width="26" customWidth="1"/>
    <col min="2" max="2" width="12" customWidth="1"/>
  </cols>
  <sheetData>
    <row r="1" spans="1:2" ht="15.6" x14ac:dyDescent="0.3">
      <c r="A1" s="13" t="s">
        <v>45</v>
      </c>
    </row>
    <row r="2" spans="1:2" x14ac:dyDescent="0.3">
      <c r="A2" s="8" t="s">
        <v>46</v>
      </c>
    </row>
    <row r="4" spans="1:2" x14ac:dyDescent="0.3">
      <c r="A4" s="14" t="s">
        <v>20</v>
      </c>
      <c r="B4" s="14" t="s">
        <v>47</v>
      </c>
    </row>
    <row r="5" spans="1:2" x14ac:dyDescent="0.3">
      <c r="A5" s="11">
        <v>2021</v>
      </c>
      <c r="B5" s="11">
        <f>COUNTIF(Data!E$6:E$25,A5)</f>
        <v>0</v>
      </c>
    </row>
    <row r="6" spans="1:2" x14ac:dyDescent="0.3">
      <c r="A6" s="11">
        <v>2022</v>
      </c>
      <c r="B6" s="11">
        <f>COUNTIF(Data!E$6:E$25,A6)</f>
        <v>2</v>
      </c>
    </row>
    <row r="7" spans="1:2" x14ac:dyDescent="0.3">
      <c r="A7" s="11">
        <v>2023</v>
      </c>
      <c r="B7" s="11">
        <f>COUNTIF(Data!E$6:E$25,A7)</f>
        <v>3</v>
      </c>
    </row>
    <row r="8" spans="1:2" x14ac:dyDescent="0.3">
      <c r="A8" s="11">
        <v>2024</v>
      </c>
      <c r="B8" s="11">
        <f>COUNTIF(Data!E$6:E$25,A8)</f>
        <v>3</v>
      </c>
    </row>
    <row r="9" spans="1:2" x14ac:dyDescent="0.3">
      <c r="A9" s="11">
        <v>2025</v>
      </c>
      <c r="B9" s="11">
        <f>COUNTIF(Data!E$6:E$25,A9)</f>
        <v>2</v>
      </c>
    </row>
    <row r="10" spans="1:2" x14ac:dyDescent="0.3">
      <c r="A10" s="11">
        <v>2026</v>
      </c>
      <c r="B10" s="11">
        <f>COUNTIF(Data!E$6:E$25,A10)</f>
        <v>0</v>
      </c>
    </row>
    <row r="12" spans="1:2" x14ac:dyDescent="0.3">
      <c r="A12" s="14" t="s">
        <v>24</v>
      </c>
      <c r="B12" s="14" t="s">
        <v>47</v>
      </c>
    </row>
    <row r="13" spans="1:2" x14ac:dyDescent="0.3">
      <c r="A13" s="11" t="s">
        <v>38</v>
      </c>
      <c r="B13" s="11">
        <f>COUNTIF(Data!I$6:I$25,A13)</f>
        <v>4</v>
      </c>
    </row>
    <row r="14" spans="1:2" x14ac:dyDescent="0.3">
      <c r="A14" s="11" t="s">
        <v>48</v>
      </c>
      <c r="B14" s="11">
        <f>COUNTIF(Data!I$6:I$25,A14)</f>
        <v>1</v>
      </c>
    </row>
    <row r="15" spans="1:2" x14ac:dyDescent="0.3">
      <c r="A15" s="11" t="s">
        <v>49</v>
      </c>
      <c r="B15" s="11">
        <f>COUNTIF(Data!I$6:I$25,A15)</f>
        <v>2</v>
      </c>
    </row>
    <row r="16" spans="1:2" x14ac:dyDescent="0.3">
      <c r="A16" s="11" t="s">
        <v>50</v>
      </c>
      <c r="B16" s="11">
        <f>COUNTIF(Data!I$6:I$25,A16)</f>
        <v>3</v>
      </c>
    </row>
    <row r="18" spans="1:2" x14ac:dyDescent="0.3">
      <c r="A18" s="14" t="s">
        <v>23</v>
      </c>
      <c r="B18" s="14" t="s">
        <v>47</v>
      </c>
    </row>
    <row r="19" spans="1:2" x14ac:dyDescent="0.3">
      <c r="A19" s="11" t="s">
        <v>37</v>
      </c>
      <c r="B19" s="11">
        <f>COUNTIF(Data!H$6:H$25,A19)</f>
        <v>9</v>
      </c>
    </row>
    <row r="20" spans="1:2" x14ac:dyDescent="0.3">
      <c r="A20" s="11" t="s">
        <v>51</v>
      </c>
      <c r="B20" s="11">
        <f>COUNTIF(Data!H$6:H$25,A20)</f>
        <v>1</v>
      </c>
    </row>
    <row r="21" spans="1:2" x14ac:dyDescent="0.3">
      <c r="A21" s="11" t="s">
        <v>52</v>
      </c>
      <c r="B21" s="11">
        <f>COUNTIF(Data!H$6:H$25,A21)</f>
        <v>0</v>
      </c>
    </row>
    <row r="22" spans="1:2" x14ac:dyDescent="0.3">
      <c r="A22" s="11" t="s">
        <v>53</v>
      </c>
      <c r="B22" s="11">
        <f>COUNTIF(Data!H$6:H$25,A22)</f>
        <v>0</v>
      </c>
    </row>
    <row r="23" spans="1:2" x14ac:dyDescent="0.3">
      <c r="A23" s="11" t="s">
        <v>50</v>
      </c>
      <c r="B23" s="11">
        <f>COUNTIF(Data!H$6:H$25,A23)</f>
        <v>0</v>
      </c>
    </row>
    <row r="25" spans="1:2" x14ac:dyDescent="0.3">
      <c r="A25" s="14" t="s">
        <v>25</v>
      </c>
      <c r="B25" s="14" t="s">
        <v>47</v>
      </c>
    </row>
    <row r="26" spans="1:2" x14ac:dyDescent="0.3">
      <c r="A26" s="11" t="s">
        <v>37</v>
      </c>
      <c r="B26" s="11">
        <f>COUNTIF(Data!J$6:J$25,A26)</f>
        <v>6</v>
      </c>
    </row>
    <row r="27" spans="1:2" x14ac:dyDescent="0.3">
      <c r="A27" s="11" t="s">
        <v>51</v>
      </c>
      <c r="B27" s="11">
        <f>COUNTIF(Data!J$6:J$25,A27)</f>
        <v>0</v>
      </c>
    </row>
    <row r="28" spans="1:2" x14ac:dyDescent="0.3">
      <c r="A28" s="11" t="s">
        <v>52</v>
      </c>
      <c r="B28" s="11">
        <f>COUNTIF(Data!J$6:J$25,A28)</f>
        <v>0</v>
      </c>
    </row>
    <row r="29" spans="1:2" x14ac:dyDescent="0.3">
      <c r="A29" s="11" t="s">
        <v>53</v>
      </c>
      <c r="B29" s="11">
        <f>COUNTIF(Data!J$6:J$25,A29)</f>
        <v>0</v>
      </c>
    </row>
    <row r="30" spans="1:2" x14ac:dyDescent="0.3">
      <c r="A30" s="11" t="s">
        <v>54</v>
      </c>
      <c r="B30" s="11">
        <f>COUNTIF(Data!J$6:J$25,A30)</f>
        <v>4</v>
      </c>
    </row>
    <row r="32" spans="1:2" x14ac:dyDescent="0.3">
      <c r="A32" s="14" t="s">
        <v>22</v>
      </c>
      <c r="B32" s="14" t="s">
        <v>47</v>
      </c>
    </row>
    <row r="33" spans="1:2" x14ac:dyDescent="0.3">
      <c r="A33" s="11" t="s">
        <v>55</v>
      </c>
      <c r="B33" s="11">
        <f>COUNTIF(Data!G$6:G$25,A33)</f>
        <v>7</v>
      </c>
    </row>
    <row r="34" spans="1:2" x14ac:dyDescent="0.3">
      <c r="A34" s="11" t="s">
        <v>56</v>
      </c>
      <c r="B34" s="11">
        <f>COUNTIF(Data!G$6:G$25,A34)</f>
        <v>0</v>
      </c>
    </row>
    <row r="35" spans="1:2" x14ac:dyDescent="0.3">
      <c r="A35" s="11" t="s">
        <v>36</v>
      </c>
      <c r="B35" s="11">
        <f>COUNTIF(Data!G$6:G$25,A35)</f>
        <v>0</v>
      </c>
    </row>
    <row r="36" spans="1:2" x14ac:dyDescent="0.3">
      <c r="A36" s="11" t="s">
        <v>57</v>
      </c>
      <c r="B36" s="11">
        <f>COUNTIF(Data!G$6:G$25,A36)</f>
        <v>0</v>
      </c>
    </row>
    <row r="37" spans="1:2" x14ac:dyDescent="0.3">
      <c r="A37" s="11" t="s">
        <v>50</v>
      </c>
      <c r="B37" s="11">
        <f>COUNTIF(Data!G$6:G$25,A37)</f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ColWidth="8.77734375" defaultRowHeight="14.4" x14ac:dyDescent="0.3"/>
  <cols>
    <col min="1" max="4" width="26" customWidth="1"/>
  </cols>
  <sheetData>
    <row r="1" spans="1:4" ht="15.6" x14ac:dyDescent="0.3">
      <c r="A1" s="13" t="s">
        <v>58</v>
      </c>
    </row>
    <row r="2" spans="1:4" x14ac:dyDescent="0.3">
      <c r="A2" s="14" t="s">
        <v>22</v>
      </c>
      <c r="B2" s="14" t="s">
        <v>23</v>
      </c>
      <c r="C2" s="14" t="s">
        <v>24</v>
      </c>
      <c r="D2" s="14" t="s">
        <v>25</v>
      </c>
    </row>
    <row r="3" spans="1:4" x14ac:dyDescent="0.3">
      <c r="A3" s="11" t="s">
        <v>55</v>
      </c>
      <c r="B3" s="11" t="s">
        <v>37</v>
      </c>
      <c r="C3" s="11" t="s">
        <v>38</v>
      </c>
      <c r="D3" s="11" t="s">
        <v>37</v>
      </c>
    </row>
    <row r="4" spans="1:4" x14ac:dyDescent="0.3">
      <c r="A4" s="11" t="s">
        <v>56</v>
      </c>
      <c r="B4" s="11" t="s">
        <v>51</v>
      </c>
      <c r="C4" s="11" t="s">
        <v>48</v>
      </c>
      <c r="D4" s="11" t="s">
        <v>51</v>
      </c>
    </row>
    <row r="5" spans="1:4" x14ac:dyDescent="0.3">
      <c r="A5" s="11" t="s">
        <v>36</v>
      </c>
      <c r="B5" s="11" t="s">
        <v>52</v>
      </c>
      <c r="C5" s="11" t="s">
        <v>49</v>
      </c>
      <c r="D5" s="11" t="s">
        <v>52</v>
      </c>
    </row>
    <row r="6" spans="1:4" x14ac:dyDescent="0.3">
      <c r="A6" s="11" t="s">
        <v>57</v>
      </c>
      <c r="B6" s="11" t="s">
        <v>53</v>
      </c>
      <c r="C6" s="11" t="s">
        <v>50</v>
      </c>
      <c r="D6" s="11" t="s">
        <v>53</v>
      </c>
    </row>
    <row r="7" spans="1:4" x14ac:dyDescent="0.3">
      <c r="A7" s="11" t="s">
        <v>50</v>
      </c>
      <c r="B7" s="11" t="s">
        <v>50</v>
      </c>
      <c r="D7" s="1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Team</vt:lpstr>
      <vt:lpstr>Data</vt:lpstr>
      <vt:lpstr>Chart counts</vt:lpstr>
      <vt:lpstr>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navyaa.7711@gmail.com</cp:lastModifiedBy>
  <dcterms:created xsi:type="dcterms:W3CDTF">2026-09-16T11:13:46Z</dcterms:created>
  <dcterms:modified xsi:type="dcterms:W3CDTF">2026-10-30T12:50:46Z</dcterms:modified>
</cp:coreProperties>
</file>